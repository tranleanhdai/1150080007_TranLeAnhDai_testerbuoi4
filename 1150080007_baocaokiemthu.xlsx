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nl\Downloads\"/>
    </mc:Choice>
  </mc:AlternateContent>
  <xr:revisionPtr revIDLastSave="0" documentId="13_ncr:1_{A4604737-1992-4207-BACB-5E6EFDDC8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TestReport" sheetId="2" r:id="rId2"/>
  </sheets>
  <definedNames>
    <definedName name="_xlnm._FilterDatabase" localSheetId="0" hidden="1">TestCases!$A$1:$J$23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12" i="2" s="1"/>
</calcChain>
</file>

<file path=xl/sharedStrings.xml><?xml version="1.0" encoding="utf-8"?>
<sst xmlns="http://schemas.openxmlformats.org/spreadsheetml/2006/main" count="246" uniqueCount="143">
  <si>
    <t>Test Case ID</t>
  </si>
  <si>
    <t>Nhóm/Loại</t>
  </si>
  <si>
    <t>Mô tả</t>
  </si>
  <si>
    <t>Dữ liệu đầu vào (OrgName/Address/Phone/Email)</t>
  </si>
  <si>
    <t>Tiền điều kiện</t>
  </si>
  <si>
    <t>Các bước thực hiện</t>
  </si>
  <si>
    <t>Kết quả mong đợi</t>
  </si>
  <si>
    <t>Kết quả thực tế</t>
  </si>
  <si>
    <t>Trạng thái</t>
  </si>
  <si>
    <t>Ghi chú</t>
  </si>
  <si>
    <t>TC01</t>
  </si>
  <si>
    <t>Hợp lệ / Save</t>
  </si>
  <si>
    <t>Lưu Organization hợp lệ (đủ thông tin) thành công.</t>
  </si>
  <si>
    <t>OrgName: Org A
Address: HCM
Phone: 0987654321
Email: a@b.com</t>
  </si>
  <si>
    <t>CSDL trống hoặc chưa có OrgName 'Org A'.</t>
  </si>
  <si>
    <t>1) Mở Form Organization.
2) Nhập dữ liệu theo mục 'Dữ liệu đầu vào'.
3) Nhấn nút Save.</t>
  </si>
  <si>
    <t>Hiển thị thông báo 'Save successfully'.
Organization được lưu vào CSDL.
Nút Director được enable (cho phép nhấn).</t>
  </si>
  <si>
    <t>Pass</t>
  </si>
  <si>
    <t>Test chạy bằng Unit Test / Manual OK</t>
  </si>
  <si>
    <t>TC02</t>
  </si>
  <si>
    <t>Boundary / OrgName</t>
  </si>
  <si>
    <t>Lưu thành công với OrgName độ dài = 3 (min).</t>
  </si>
  <si>
    <t>OrgName: ABC
Address: HCM
Phone: (trống)
Email: (trống)</t>
  </si>
  <si>
    <t>CSDL chưa có OrgName 'ABC'.</t>
  </si>
  <si>
    <t>Save thành công. Không báo lỗi validation.</t>
  </si>
  <si>
    <t>TC03</t>
  </si>
  <si>
    <t>Lưu thành công với OrgName độ dài = 255 (max).</t>
  </si>
  <si>
    <t>OrgName: AAAAAAAAAAAAAAAAAAAAAAAAAAAAAAAAAAAAAAAAAAAAAAAAAAAAAAAAAAAAAAAAAAAAAAAAAAAAAAAAAAAAAAAAAAAAAAAAAAAAAAAAAAAAAAAAAAAAAAAAAAAAAAAAAAAAAAAAAAAAAAAAAAAAAAAAAAAAAAAAAAAAAAAAAAAAAAAAAAAAAAAAAAAAAAAAAAAAAAAAAAAAAAAAAAAAAAAAAAAAAAAAAAAAAAAAAAAAAAAAAAAAAAAAAAAAAAA
Address: HCM
Phone: (trống)
Email: (trống)</t>
  </si>
  <si>
    <t>CSDL chưa có OrgName 255 ký tự này.</t>
  </si>
  <si>
    <t>TC04</t>
  </si>
  <si>
    <t>Không hợp lệ / Validation</t>
  </si>
  <si>
    <t>Không cho phép lưu khi OrgName để trống.</t>
  </si>
  <si>
    <t>OrgName: 
Address: HCM
Phone: 0987654321
Email: a@b.com</t>
  </si>
  <si>
    <t>—</t>
  </si>
  <si>
    <t>Hiển thị lỗi validation cho OrgName.
Không lưu vào CSDL.
Nút Director vẫn disabled.</t>
  </si>
  <si>
    <t>TC05</t>
  </si>
  <si>
    <t>Không cho phép lưu khi OrgName chỉ chứa khoảng trắng.</t>
  </si>
  <si>
    <t>OrgName:    
Address: HCM
Phone: 0987654321
Email: a@b.com</t>
  </si>
  <si>
    <t>Hiển thị lỗi validation cho OrgName.
Không lưu vào CSDL.</t>
  </si>
  <si>
    <t>TC06</t>
  </si>
  <si>
    <t>Không cho phép lưu khi OrgName độ dài = 2 (&lt;3).</t>
  </si>
  <si>
    <t>OrgName: AB
Address: HCM
Phone: (trống)
Email: (trống)</t>
  </si>
  <si>
    <t>Hiển thị lỗi: OrgName phải từ 3 đến 255 ký tự.
Không lưu vào CSDL.</t>
  </si>
  <si>
    <t>TC07</t>
  </si>
  <si>
    <t>Không cho phép lưu khi OrgName độ dài = 256 (&gt;255).</t>
  </si>
  <si>
    <t>OrgName: AAAAAAAAAAAAAAAAAAAAAAAAAAAAAAAAAAAAAAAAAAAAAAAAAAAAAAAAAAAAAAAAAAAAAAAAAAAAAAAAAAAAAAAAAAAAAAAAAAAAAAAAAAAAAAAAAAAAAAAAAAAAAAAAAAAAAAAAAAAAAAAAAAAAAAAAAAAAAAAAAAAAAAAAAAAAAAAAAAAAAAAAAAAAAAAAAAAAAAAAAAAAAAAAAAAAAAAAAAAAAAAAAAAAAAAAAAAAAAAAAAAAAAAAAAAAAAAA
Address: HCM
Phone: (trống)
Email: (trống)</t>
  </si>
  <si>
    <t>TC08</t>
  </si>
  <si>
    <t>Trùng tên / DB</t>
  </si>
  <si>
    <t>Không cho phép lưu OrgName trùng (không phân biệt hoa/thường).</t>
  </si>
  <si>
    <t>OrgName: abc company
Address: (trống)
Phone: (trống)
Email: (trống)</t>
  </si>
  <si>
    <t>Đã có Organization với OrgName 'ABC Company' trong CSDL.</t>
  </si>
  <si>
    <t>1) Mở Form Organization.
2) Nhập OrgName = 'abc company' (khác hoa/thường).
3) Nhấn Save.</t>
  </si>
  <si>
    <t>Hiển thị thông báo lỗi: 'Organization Name already exists'.
Không tạo bản ghi mới.</t>
  </si>
  <si>
    <t>TC09</t>
  </si>
  <si>
    <t>Không cho phép lưu OrgName trùng chính xác.</t>
  </si>
  <si>
    <t>OrgName: Org A
Address: (trống)
Phone: (trống)
Email: (trống)</t>
  </si>
  <si>
    <t>Đã có Organization với OrgName 'Org A' trong CSDL.</t>
  </si>
  <si>
    <t>1) Mở Form Organization.
2) Nhập OrgName = 'Org A'.
3) Nhấn Save.</t>
  </si>
  <si>
    <t>Hiển thị thông báo lỗi trùng tên.
Không tạo bản ghi mới.</t>
  </si>
  <si>
    <t>TC10</t>
  </si>
  <si>
    <t>Không hợp lệ / Phone</t>
  </si>
  <si>
    <t>Phone có chữ cái → không hợp lệ.</t>
  </si>
  <si>
    <t>OrgName: Org Phone
Address: HCM
Phone: 09ABCD123
Email: (trống)</t>
  </si>
  <si>
    <t>CSDL chưa có OrgName 'Org Phone'.</t>
  </si>
  <si>
    <t>Hiển thị lỗi validation: Phone chỉ chứa số.
Không lưu vào CSDL.</t>
  </si>
  <si>
    <t>TC11</t>
  </si>
  <si>
    <t>Boundary / Phone</t>
  </si>
  <si>
    <t>Phone độ dài = 8 (&lt;9) → không hợp lệ.</t>
  </si>
  <si>
    <t>OrgName: Org Phone2
Address: HCM
Phone: 01234567
Email: (trống)</t>
  </si>
  <si>
    <t>Hiển thị lỗi: Phone phải từ 9 đến 12 ký tự số.
Không lưu.</t>
  </si>
  <si>
    <t>TC12</t>
  </si>
  <si>
    <t>Phone độ dài = 13 (&gt;12) → không hợp lệ.</t>
  </si>
  <si>
    <t>OrgName: Org Phone3
Address: HCM
Phone: 0123456789012
Email: (trống)</t>
  </si>
  <si>
    <t>TC13</t>
  </si>
  <si>
    <t>Phone độ dài = 9 (min) và chỉ số → hợp lệ.</t>
  </si>
  <si>
    <t>OrgName: Org P9
Address: HCM
Phone: 012345678
Email: (trống)</t>
  </si>
  <si>
    <t>CSDL chưa có OrgName 'Org P9'.</t>
  </si>
  <si>
    <t>Save thành công. Phone được lưu đúng.</t>
  </si>
  <si>
    <t>TC14</t>
  </si>
  <si>
    <t>Phone độ dài = 12 (max) và chỉ số → hợp lệ.</t>
  </si>
  <si>
    <t>OrgName: Org P12
Address: HCM
Phone: 012345678901
Email: (trống)</t>
  </si>
  <si>
    <t>CSDL chưa có OrgName 'Org P12'.</t>
  </si>
  <si>
    <t>TC15</t>
  </si>
  <si>
    <t>Không hợp lệ / Email</t>
  </si>
  <si>
    <t>Email sai định dạng (thiếu @) → không hợp lệ.</t>
  </si>
  <si>
    <t>OrgName: Org Email
Address: HCM
Phone: 0987654321
Email: abc.com</t>
  </si>
  <si>
    <t>Hiển thị lỗi validation: Email không đúng định dạng.
Không lưu.</t>
  </si>
  <si>
    <t>TC16</t>
  </si>
  <si>
    <t>Email sai định dạng (domain sai) → không hợp lệ.</t>
  </si>
  <si>
    <t>OrgName: Org Email2
Address: HCM
Phone: 0987654321
Email: abc@.com</t>
  </si>
  <si>
    <t>TC17</t>
  </si>
  <si>
    <t>Luồng / Director</t>
  </si>
  <si>
    <t>Nút Director bị vô hiệu trước khi Save thành công.</t>
  </si>
  <si>
    <t>OrgName: Org Director
Address: HCM
Phone: (trống)
Email: (trống)</t>
  </si>
  <si>
    <t>Form vừa mở, chưa nhấn Save.</t>
  </si>
  <si>
    <t>1) Mở Form Organization.
2) Quan sát nút Director.
3) Thử nhấn Director.</t>
  </si>
  <si>
    <t>Director bị disabled hoặc không mở form Director Management.</t>
  </si>
  <si>
    <t>TC18</t>
  </si>
  <si>
    <t>Nhấn Director sau khi Save thành công mở Director Management và truyền Organization vừa tạo.</t>
  </si>
  <si>
    <t>OrgName: Org Director2
Address: HCM
Phone: 0123456789
Email: d@e.com</t>
  </si>
  <si>
    <t>CSDL chưa có OrgName 'Org Director2'.</t>
  </si>
  <si>
    <t>1) Mở Form Organization.
2) Nhập dữ liệu.
3) Nhấn Save.
4) Nhấn Director.</t>
  </si>
  <si>
    <t>Form Director Management mở.
Organization vừa tạo được truyền sang (hiển thị OrgName/Id tương ứng).</t>
  </si>
  <si>
    <t>TC19</t>
  </si>
  <si>
    <t>Luồng / Back</t>
  </si>
  <si>
    <t>Nhấn Back khi chưa Save → không lưu dữ liệu.</t>
  </si>
  <si>
    <t>OrgName: Org Back
Address: HCM
Phone: 0123456789
Email: b@c.com</t>
  </si>
  <si>
    <t>CSDL trống hoặc chưa có OrgName 'Org Back'.</t>
  </si>
  <si>
    <t>1) Mở Form Organization.
2) Nhập dữ liệu.
3) Nhấn Back.</t>
  </si>
  <si>
    <t>Form đóng/quay về màn hình trước.
Không có bản ghi mới trong CSDL.</t>
  </si>
  <si>
    <t>TC20</t>
  </si>
  <si>
    <t>Nhấn Back sau khi Save → dữ liệu đã lưu vẫn còn trong CSDL.</t>
  </si>
  <si>
    <t>OrgName: Org Back2
Address: HCM
Phone: 0123456789
Email: b2@c.com</t>
  </si>
  <si>
    <t>CSDL chưa có OrgName 'Org Back2'.</t>
  </si>
  <si>
    <t>1) Mở Form Organization.
2) Nhập dữ liệu.
3) Nhấn Save.
4) Nhấn Back.
5) Mở lại form/kiểm tra DB.</t>
  </si>
  <si>
    <t>Form đóng/quay về màn hình trước.
Bản ghi 'Org Back2' tồn tại trong CSDL.</t>
  </si>
  <si>
    <t>TC21</t>
  </si>
  <si>
    <t>Hợp lệ / Optional</t>
  </si>
  <si>
    <t>Email để trống (không nhập) vẫn lưu được nếu OrgName hợp lệ.</t>
  </si>
  <si>
    <t>OrgName: Org NoEmail
Address: HCM
Phone: 0123456789
Email: (trống)</t>
  </si>
  <si>
    <t>CSDL chưa có OrgName 'Org NoEmail'.</t>
  </si>
  <si>
    <t>Save thành công.
Email trong CSDL là NULL/empty.</t>
  </si>
  <si>
    <t>TC22</t>
  </si>
  <si>
    <t>Phone để trống (không nhập) vẫn lưu được nếu OrgName hợp lệ.</t>
  </si>
  <si>
    <t>OrgName: Org NoPhone
Address: HCM
Phone: (trống)
Email: a@b.com</t>
  </si>
  <si>
    <t>CSDL chưa có OrgName 'Org NoPhone'.</t>
  </si>
  <si>
    <t>Save thành công.
Phone trong CSDL là NULL/empty.</t>
  </si>
  <si>
    <t>BÁO CÁO KIỂM THỬ (Template)</t>
  </si>
  <si>
    <t>1. Giới thiệu</t>
  </si>
  <si>
    <t>Form Organization Management - Kiểm thử chức năng Save/Back/Director và validation dữ liệu.</t>
  </si>
  <si>
    <t>2. Môi trường kiểm thử</t>
  </si>
  <si>
    <t>OS/IDE/.NET/SQLite: (điền)</t>
  </si>
  <si>
    <t>3. Danh sách test case</t>
  </si>
  <si>
    <t>Xem sheet 'TestCases'.</t>
  </si>
  <si>
    <t>4. Tổng kết kết quả kiểm thử</t>
  </si>
  <si>
    <t>Tổng số test case</t>
  </si>
  <si>
    <t>Passed</t>
  </si>
  <si>
    <t>Failed</t>
  </si>
  <si>
    <t>N/A</t>
  </si>
  <si>
    <t>Pass rate</t>
  </si>
  <si>
    <t>5. Nhận xét và đề xuất cải tiến</t>
  </si>
  <si>
    <t>Gợi ý</t>
  </si>
  <si>
    <t>• Bổ sung validate Email/Phone theo yêu cầu.
• Tối ưu thông báo lỗi theo từng trường.
• Tách lớp Repository/Service để dễ test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</si>
</sst>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top" wrapText="1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D1" workbookViewId="0">
      <pane ySplit="1" topLeftCell="A2" activePane="bottomLeft" state="frozen"/>
      <selection pane="bottomLeft" activeCell="M3" sqref="M3"/>
    </sheetView>
  </sheetViews>
  <sheetFormatPr defaultRowHeight="14.4" x14ac:dyDescent="0.3"/>
  <cols>
    <col min="1" max="1" width="12" customWidth="1"/>
    <col min="2" max="2" width="18" customWidth="1"/>
    <col min="3" max="3" width="40" customWidth="1"/>
    <col min="4" max="4" width="34" customWidth="1"/>
    <col min="5" max="5" width="26" customWidth="1"/>
    <col min="6" max="6" width="34" customWidth="1"/>
    <col min="7" max="7" width="30" customWidth="1"/>
    <col min="8" max="8" width="24" customWidth="1"/>
    <col min="9" max="9" width="12" customWidth="1"/>
    <col min="10" max="10" width="18" customWidth="1"/>
  </cols>
  <sheetData>
    <row r="1" spans="1:10" ht="28.05" customHeight="1" x14ac:dyDescent="0.3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t="85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</row>
    <row r="3" spans="1:10" ht="85.05" customHeigh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24</v>
      </c>
      <c r="I3" s="2" t="s">
        <v>17</v>
      </c>
      <c r="J3" s="2" t="s">
        <v>18</v>
      </c>
    </row>
    <row r="4" spans="1:10" ht="85.05" customHeight="1" x14ac:dyDescent="0.3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15</v>
      </c>
      <c r="G4" s="2" t="s">
        <v>24</v>
      </c>
      <c r="H4" s="2" t="s">
        <v>24</v>
      </c>
      <c r="I4" s="2" t="s">
        <v>17</v>
      </c>
      <c r="J4" s="2" t="s">
        <v>18</v>
      </c>
    </row>
    <row r="5" spans="1:10" ht="85.05" customHeight="1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15</v>
      </c>
      <c r="G5" s="2" t="s">
        <v>34</v>
      </c>
      <c r="H5" s="2" t="s">
        <v>34</v>
      </c>
      <c r="I5" s="2" t="s">
        <v>17</v>
      </c>
      <c r="J5" s="2" t="s">
        <v>18</v>
      </c>
    </row>
    <row r="6" spans="1:10" ht="85.05" customHeight="1" x14ac:dyDescent="0.3">
      <c r="A6" s="2" t="s">
        <v>35</v>
      </c>
      <c r="B6" s="2" t="s">
        <v>30</v>
      </c>
      <c r="C6" s="2" t="s">
        <v>36</v>
      </c>
      <c r="D6" s="2" t="s">
        <v>37</v>
      </c>
      <c r="E6" s="2" t="s">
        <v>33</v>
      </c>
      <c r="F6" s="2" t="s">
        <v>15</v>
      </c>
      <c r="G6" s="2" t="s">
        <v>38</v>
      </c>
      <c r="H6" s="2" t="s">
        <v>38</v>
      </c>
      <c r="I6" s="2" t="s">
        <v>17</v>
      </c>
      <c r="J6" s="2" t="s">
        <v>18</v>
      </c>
    </row>
    <row r="7" spans="1:10" ht="85.05" customHeight="1" x14ac:dyDescent="0.3">
      <c r="A7" s="2" t="s">
        <v>39</v>
      </c>
      <c r="B7" s="2" t="s">
        <v>20</v>
      </c>
      <c r="C7" s="2" t="s">
        <v>40</v>
      </c>
      <c r="D7" s="2" t="s">
        <v>41</v>
      </c>
      <c r="E7" s="2" t="s">
        <v>33</v>
      </c>
      <c r="F7" s="2" t="s">
        <v>15</v>
      </c>
      <c r="G7" s="2" t="s">
        <v>42</v>
      </c>
      <c r="H7" s="2" t="s">
        <v>42</v>
      </c>
      <c r="I7" s="2" t="s">
        <v>17</v>
      </c>
      <c r="J7" s="2" t="s">
        <v>18</v>
      </c>
    </row>
    <row r="8" spans="1:10" ht="85.05" customHeight="1" x14ac:dyDescent="0.3">
      <c r="A8" s="2" t="s">
        <v>43</v>
      </c>
      <c r="B8" s="2" t="s">
        <v>20</v>
      </c>
      <c r="C8" s="2" t="s">
        <v>44</v>
      </c>
      <c r="D8" s="2" t="s">
        <v>45</v>
      </c>
      <c r="E8" s="2" t="s">
        <v>33</v>
      </c>
      <c r="F8" s="2" t="s">
        <v>15</v>
      </c>
      <c r="G8" s="2" t="s">
        <v>42</v>
      </c>
      <c r="H8" s="2" t="s">
        <v>42</v>
      </c>
      <c r="I8" s="2" t="s">
        <v>17</v>
      </c>
      <c r="J8" s="2" t="s">
        <v>18</v>
      </c>
    </row>
    <row r="9" spans="1:10" ht="85.05" customHeight="1" x14ac:dyDescent="0.3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52</v>
      </c>
      <c r="I9" s="2" t="s">
        <v>17</v>
      </c>
      <c r="J9" s="2" t="s">
        <v>18</v>
      </c>
    </row>
    <row r="10" spans="1:10" ht="85.05" customHeight="1" x14ac:dyDescent="0.3">
      <c r="A10" s="2" t="s">
        <v>53</v>
      </c>
      <c r="B10" s="2" t="s">
        <v>47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58</v>
      </c>
      <c r="I10" s="2" t="s">
        <v>17</v>
      </c>
      <c r="J10" s="2" t="s">
        <v>18</v>
      </c>
    </row>
    <row r="11" spans="1:10" ht="85.05" customHeight="1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15</v>
      </c>
      <c r="G11" s="2" t="s">
        <v>64</v>
      </c>
      <c r="H11" s="2" t="s">
        <v>64</v>
      </c>
      <c r="I11" s="2" t="s">
        <v>17</v>
      </c>
      <c r="J11" s="2" t="s">
        <v>18</v>
      </c>
    </row>
    <row r="12" spans="1:10" ht="85.05" customHeight="1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33</v>
      </c>
      <c r="F12" s="2" t="s">
        <v>15</v>
      </c>
      <c r="G12" s="2" t="s">
        <v>69</v>
      </c>
      <c r="H12" s="2" t="s">
        <v>69</v>
      </c>
      <c r="I12" s="2" t="s">
        <v>17</v>
      </c>
      <c r="J12" s="2" t="s">
        <v>18</v>
      </c>
    </row>
    <row r="13" spans="1:10" ht="85.05" customHeight="1" x14ac:dyDescent="0.3">
      <c r="A13" s="2" t="s">
        <v>70</v>
      </c>
      <c r="B13" s="2" t="s">
        <v>66</v>
      </c>
      <c r="C13" s="2" t="s">
        <v>71</v>
      </c>
      <c r="D13" s="2" t="s">
        <v>72</v>
      </c>
      <c r="E13" s="2" t="s">
        <v>33</v>
      </c>
      <c r="F13" s="2" t="s">
        <v>15</v>
      </c>
      <c r="G13" s="2" t="s">
        <v>69</v>
      </c>
      <c r="H13" s="2" t="s">
        <v>69</v>
      </c>
      <c r="I13" s="2" t="s">
        <v>17</v>
      </c>
      <c r="J13" s="2" t="s">
        <v>18</v>
      </c>
    </row>
    <row r="14" spans="1:10" ht="85.05" customHeight="1" x14ac:dyDescent="0.3">
      <c r="A14" s="2" t="s">
        <v>73</v>
      </c>
      <c r="B14" s="2" t="s">
        <v>66</v>
      </c>
      <c r="C14" s="2" t="s">
        <v>74</v>
      </c>
      <c r="D14" s="2" t="s">
        <v>75</v>
      </c>
      <c r="E14" s="2" t="s">
        <v>76</v>
      </c>
      <c r="F14" s="2" t="s">
        <v>15</v>
      </c>
      <c r="G14" s="2" t="s">
        <v>77</v>
      </c>
      <c r="H14" s="2" t="s">
        <v>77</v>
      </c>
      <c r="I14" s="2" t="s">
        <v>17</v>
      </c>
      <c r="J14" s="2" t="s">
        <v>18</v>
      </c>
    </row>
    <row r="15" spans="1:10" ht="85.05" customHeight="1" x14ac:dyDescent="0.3">
      <c r="A15" s="2" t="s">
        <v>78</v>
      </c>
      <c r="B15" s="2" t="s">
        <v>66</v>
      </c>
      <c r="C15" s="2" t="s">
        <v>79</v>
      </c>
      <c r="D15" s="2" t="s">
        <v>80</v>
      </c>
      <c r="E15" s="2" t="s">
        <v>81</v>
      </c>
      <c r="F15" s="2" t="s">
        <v>15</v>
      </c>
      <c r="G15" s="2" t="s">
        <v>77</v>
      </c>
      <c r="H15" s="2" t="s">
        <v>77</v>
      </c>
      <c r="I15" s="2" t="s">
        <v>17</v>
      </c>
      <c r="J15" s="2" t="s">
        <v>18</v>
      </c>
    </row>
    <row r="16" spans="1:10" ht="85.05" customHeight="1" x14ac:dyDescent="0.3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33</v>
      </c>
      <c r="F16" s="2" t="s">
        <v>15</v>
      </c>
      <c r="G16" s="2" t="s">
        <v>86</v>
      </c>
      <c r="H16" s="2" t="s">
        <v>86</v>
      </c>
      <c r="I16" s="2" t="s">
        <v>17</v>
      </c>
      <c r="J16" s="2" t="s">
        <v>18</v>
      </c>
    </row>
    <row r="17" spans="1:10" ht="85.05" customHeight="1" x14ac:dyDescent="0.3">
      <c r="A17" s="2" t="s">
        <v>87</v>
      </c>
      <c r="B17" s="2" t="s">
        <v>83</v>
      </c>
      <c r="C17" s="2" t="s">
        <v>88</v>
      </c>
      <c r="D17" s="2" t="s">
        <v>89</v>
      </c>
      <c r="E17" s="2" t="s">
        <v>33</v>
      </c>
      <c r="F17" s="2" t="s">
        <v>15</v>
      </c>
      <c r="G17" s="2" t="s">
        <v>86</v>
      </c>
      <c r="H17" s="2" t="s">
        <v>86</v>
      </c>
      <c r="I17" s="2" t="s">
        <v>17</v>
      </c>
      <c r="J17" s="2" t="s">
        <v>18</v>
      </c>
    </row>
    <row r="18" spans="1:10" ht="85.05" customHeight="1" x14ac:dyDescent="0.3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96</v>
      </c>
      <c r="I18" s="2" t="s">
        <v>17</v>
      </c>
      <c r="J18" s="2" t="s">
        <v>18</v>
      </c>
    </row>
    <row r="19" spans="1:10" ht="85.05" customHeight="1" x14ac:dyDescent="0.3">
      <c r="A19" s="2" t="s">
        <v>97</v>
      </c>
      <c r="B19" s="2" t="s">
        <v>91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102</v>
      </c>
      <c r="I19" s="2" t="s">
        <v>17</v>
      </c>
      <c r="J19" s="2" t="s">
        <v>18</v>
      </c>
    </row>
    <row r="20" spans="1:10" ht="85.05" customHeight="1" x14ac:dyDescent="0.3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109</v>
      </c>
      <c r="H20" s="2" t="s">
        <v>109</v>
      </c>
      <c r="I20" s="2" t="s">
        <v>17</v>
      </c>
      <c r="J20" s="2" t="s">
        <v>18</v>
      </c>
    </row>
    <row r="21" spans="1:10" ht="85.05" customHeight="1" x14ac:dyDescent="0.3">
      <c r="A21" s="2" t="s">
        <v>110</v>
      </c>
      <c r="B21" s="2" t="s">
        <v>104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115</v>
      </c>
      <c r="H21" s="2" t="s">
        <v>115</v>
      </c>
      <c r="I21" s="2" t="s">
        <v>17</v>
      </c>
      <c r="J21" s="2" t="s">
        <v>18</v>
      </c>
    </row>
    <row r="22" spans="1:10" ht="85.05" customHeight="1" x14ac:dyDescent="0.3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15</v>
      </c>
      <c r="G22" s="2" t="s">
        <v>121</v>
      </c>
      <c r="H22" s="2" t="s">
        <v>121</v>
      </c>
      <c r="I22" s="2" t="s">
        <v>17</v>
      </c>
      <c r="J22" s="2" t="s">
        <v>18</v>
      </c>
    </row>
    <row r="23" spans="1:10" ht="85.05" customHeight="1" x14ac:dyDescent="0.3">
      <c r="A23" s="2" t="s">
        <v>122</v>
      </c>
      <c r="B23" s="2" t="s">
        <v>117</v>
      </c>
      <c r="C23" s="2" t="s">
        <v>123</v>
      </c>
      <c r="D23" s="2" t="s">
        <v>124</v>
      </c>
      <c r="E23" s="2" t="s">
        <v>125</v>
      </c>
      <c r="F23" s="2" t="s">
        <v>15</v>
      </c>
      <c r="G23" s="2" t="s">
        <v>126</v>
      </c>
      <c r="H23" s="2" t="s">
        <v>126</v>
      </c>
      <c r="I23" s="2" t="s">
        <v>17</v>
      </c>
      <c r="J23" s="2" t="s">
        <v>18</v>
      </c>
    </row>
  </sheetData>
  <autoFilter ref="A1:J23" xr:uid="{00000000-0009-0000-0000-000000000000}"/>
  <dataValidations count="1">
    <dataValidation type="list" allowBlank="1" sqref="I2:I23" xr:uid="{00000000-0002-0000-0000-000000000000}">
      <formula1>"Pass,Fail,N/A"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15"/>
  <sheetViews>
    <sheetView workbookViewId="0"/>
  </sheetViews>
  <sheetFormatPr defaultRowHeight="14.4" x14ac:dyDescent="0.3"/>
  <cols>
    <col min="1" max="1" width="26" customWidth="1"/>
    <col min="2" max="2" width="60" customWidth="1"/>
    <col min="3" max="5" width="10" customWidth="1"/>
  </cols>
  <sheetData>
    <row r="1" spans="1:132" ht="25.95" customHeight="1" x14ac:dyDescent="0.35">
      <c r="A1" s="12" t="s">
        <v>127</v>
      </c>
      <c r="B1" s="11"/>
      <c r="C1" s="11"/>
      <c r="D1" s="11"/>
      <c r="E1" s="11"/>
    </row>
    <row r="3" spans="1:132" ht="40.049999999999997" customHeight="1" x14ac:dyDescent="0.3">
      <c r="A3" s="3" t="s">
        <v>128</v>
      </c>
      <c r="B3" s="7" t="s">
        <v>129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9"/>
    </row>
    <row r="4" spans="1:132" ht="40.049999999999997" customHeight="1" x14ac:dyDescent="0.3">
      <c r="A4" s="3" t="s">
        <v>130</v>
      </c>
      <c r="B4" s="7" t="s">
        <v>131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9"/>
    </row>
    <row r="5" spans="1:132" ht="40.049999999999997" customHeight="1" x14ac:dyDescent="0.3">
      <c r="A5" s="3" t="s">
        <v>132</v>
      </c>
      <c r="B5" s="7" t="s">
        <v>133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9"/>
    </row>
    <row r="6" spans="1:132" x14ac:dyDescent="0.3">
      <c r="A6" s="2"/>
      <c r="B6" s="2"/>
      <c r="C6" s="4"/>
      <c r="D6" s="4"/>
      <c r="E6" s="4"/>
    </row>
    <row r="7" spans="1:132" ht="22.05" customHeight="1" x14ac:dyDescent="0.3">
      <c r="A7" s="10" t="s">
        <v>134</v>
      </c>
      <c r="B7" s="8"/>
      <c r="C7" s="8"/>
      <c r="D7" s="8"/>
      <c r="E7" s="9"/>
    </row>
    <row r="8" spans="1:132" x14ac:dyDescent="0.3">
      <c r="A8" s="3" t="s">
        <v>135</v>
      </c>
      <c r="B8" s="2">
        <f>COUNTA(TestCases!A:A)-1</f>
        <v>22</v>
      </c>
      <c r="C8" s="4"/>
      <c r="D8" s="4"/>
      <c r="E8" s="4"/>
    </row>
    <row r="9" spans="1:132" x14ac:dyDescent="0.3">
      <c r="A9" s="3" t="s">
        <v>136</v>
      </c>
      <c r="B9" s="2">
        <f>COUNTIF(TestCases!I:I,"Pass")</f>
        <v>22</v>
      </c>
      <c r="C9" s="4"/>
      <c r="D9" s="4"/>
      <c r="E9" s="4"/>
    </row>
    <row r="10" spans="1:132" x14ac:dyDescent="0.3">
      <c r="A10" s="3" t="s">
        <v>137</v>
      </c>
      <c r="B10" s="2">
        <f>COUNTIF(TestCases!I:I,"Fail")</f>
        <v>0</v>
      </c>
      <c r="C10" s="4"/>
      <c r="D10" s="4"/>
      <c r="E10" s="4"/>
    </row>
    <row r="11" spans="1:132" x14ac:dyDescent="0.3">
      <c r="A11" s="3" t="s">
        <v>138</v>
      </c>
      <c r="B11" s="2">
        <f>COUNTIF(TestCases!I:I,"N/A")</f>
        <v>0</v>
      </c>
      <c r="C11" s="4"/>
      <c r="D11" s="4"/>
      <c r="E11" s="4"/>
    </row>
    <row r="12" spans="1:132" x14ac:dyDescent="0.3">
      <c r="A12" s="3" t="s">
        <v>139</v>
      </c>
      <c r="B12" s="5">
        <f>IF(B8=0,0,B9/B8)</f>
        <v>1</v>
      </c>
      <c r="C12" s="4"/>
      <c r="D12" s="4"/>
      <c r="E12" s="4"/>
    </row>
    <row r="14" spans="1:132" x14ac:dyDescent="0.3">
      <c r="A14" s="13" t="s">
        <v>140</v>
      </c>
      <c r="B14" s="11"/>
      <c r="C14" s="11"/>
      <c r="D14" s="11"/>
      <c r="E14" s="11"/>
    </row>
    <row r="15" spans="1:132" ht="55.05" customHeight="1" x14ac:dyDescent="0.3">
      <c r="A15" s="6" t="s">
        <v>141</v>
      </c>
      <c r="B15" s="11" t="s">
        <v>142</v>
      </c>
      <c r="C15" s="11"/>
      <c r="D15" s="11"/>
      <c r="E15" s="11"/>
    </row>
  </sheetData>
  <mergeCells count="7">
    <mergeCell ref="B3:EB3"/>
    <mergeCell ref="B5:EB5"/>
    <mergeCell ref="A7:E7"/>
    <mergeCell ref="B15:E15"/>
    <mergeCell ref="A1:E1"/>
    <mergeCell ref="B4:EB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Đại Trần</cp:lastModifiedBy>
  <dcterms:created xsi:type="dcterms:W3CDTF">2026-01-20T08:00:45Z</dcterms:created>
  <dcterms:modified xsi:type="dcterms:W3CDTF">2026-01-20T08:19:34Z</dcterms:modified>
</cp:coreProperties>
</file>